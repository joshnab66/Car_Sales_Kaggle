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shna\Downloads\"/>
    </mc:Choice>
  </mc:AlternateContent>
  <xr:revisionPtr revIDLastSave="0" documentId="8_{DDF74CAD-0589-49E7-8FC7-0C90E1BAB973}" xr6:coauthVersionLast="47" xr6:coauthVersionMax="47" xr10:uidLastSave="{00000000-0000-0000-0000-000000000000}"/>
  <bookViews>
    <workbookView xWindow="2856" yWindow="2856" windowWidth="17280" windowHeight="8880" activeTab="3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 s="1"/>
  <c r="J93" i="1" a="1"/>
  <c r="J93" i="1"/>
  <c r="J94" i="1" a="1"/>
  <c r="J94" i="1" s="1"/>
  <c r="J95" i="1" a="1"/>
  <c r="J95" i="1" s="1"/>
  <c r="J96" i="1" a="1"/>
  <c r="J96" i="1"/>
  <c r="J97" i="1" a="1"/>
  <c r="J97" i="1"/>
  <c r="J98" i="1" a="1"/>
  <c r="J98" i="1" s="1"/>
  <c r="J99" i="1" a="1"/>
  <c r="J99" i="1"/>
  <c r="J100" i="1" a="1"/>
  <c r="J100" i="1" s="1"/>
  <c r="J101" i="1" a="1"/>
  <c r="J101" i="1" s="1"/>
  <c r="J102" i="1" a="1"/>
  <c r="J102" i="1"/>
  <c r="J103" i="1" a="1"/>
  <c r="J103" i="1"/>
  <c r="J104" i="1" a="1"/>
  <c r="J104" i="1" s="1"/>
  <c r="J105" i="1" a="1"/>
  <c r="J105" i="1"/>
  <c r="J106" i="1" a="1"/>
  <c r="J106" i="1" s="1"/>
  <c r="J107" i="1" a="1"/>
  <c r="J107" i="1" s="1"/>
  <c r="J108" i="1" a="1"/>
  <c r="J108" i="1"/>
  <c r="J109" i="1" a="1"/>
  <c r="J109" i="1"/>
  <c r="J110" i="1" a="1"/>
  <c r="J110" i="1" s="1"/>
  <c r="J111" i="1" a="1"/>
  <c r="J111" i="1"/>
  <c r="J112" i="1" a="1"/>
  <c r="J112" i="1" s="1"/>
  <c r="J113" i="1" a="1"/>
  <c r="J113" i="1" s="1"/>
  <c r="J114" i="1" a="1"/>
  <c r="J114" i="1"/>
  <c r="J115" i="1" a="1"/>
  <c r="J115" i="1"/>
  <c r="J116" i="1" a="1"/>
  <c r="J116" i="1" s="1"/>
  <c r="J117" i="1" a="1"/>
  <c r="J117" i="1"/>
  <c r="J118" i="1" a="1"/>
  <c r="J118" i="1" s="1"/>
  <c r="J119" i="1" a="1"/>
  <c r="J119" i="1" s="1"/>
  <c r="J120" i="1" a="1"/>
  <c r="J120" i="1"/>
  <c r="J121" i="1" a="1"/>
  <c r="J121" i="1"/>
  <c r="J122" i="1" a="1"/>
  <c r="J122" i="1" s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<sst xmlns="http://schemas.openxmlformats.org/spreadsheetml/2006/main" count="1476" uniqueCount="210">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</sst>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3" formatCode="0%"/>
    </dxf>
    <dxf>
      <numFmt numFmtId="13" formatCode="0%"/>
    </dxf>
    <dxf>
      <numFmt numFmtId="13" formatCode="0%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[Car_Sales_Kaggle.xlsx]Line Chart!PivotTable4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cap="none" normalizeH="0" baseline="0">
                <a:effectLst/>
              </a:rPr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6604330708661421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6604330708661441E-2"/>
              <c:y val="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9382108486439195E-2"/>
              <c:y val="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9382108486439195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6604330708661421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8270997375328082E-2"/>
              <c:y val="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6604330708661316E-2"/>
              <c:y val="5.55555555555555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lt1"/>
                </a:solidFill>
                <a:ln w="158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EA8-49EE-9E8F-D351BAC6F79F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lt1"/>
                </a:solidFill>
                <a:ln w="158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EA8-49EE-9E8F-D351BAC6F79F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lt1"/>
                </a:solidFill>
                <a:ln w="158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EA8-49EE-9E8F-D351BAC6F79F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lt1"/>
                </a:solidFill>
                <a:ln w="158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EA8-49EE-9E8F-D351BAC6F79F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lt1"/>
                </a:solidFill>
                <a:ln w="158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EA8-49EE-9E8F-D351BAC6F79F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lt1"/>
                </a:solidFill>
                <a:ln w="158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EA8-49EE-9E8F-D351BAC6F79F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lt1"/>
                </a:solidFill>
                <a:ln w="158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EA8-49EE-9E8F-D351BAC6F79F}"/>
              </c:ext>
            </c:extLst>
          </c:dPt>
          <c:dLbls>
            <c:dLbl>
              <c:idx val="0"/>
              <c:layout>
                <c:manualLayout>
                  <c:x val="-4.6604330708661421E-2"/>
                  <c:y val="8.7962962962962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A8-49EE-9E8F-D351BAC6F79F}"/>
                </c:ext>
              </c:extLst>
            </c:dLbl>
            <c:dLbl>
              <c:idx val="1"/>
              <c:layout>
                <c:manualLayout>
                  <c:x val="-4.6604330708661441E-2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A8-49EE-9E8F-D351BAC6F79F}"/>
                </c:ext>
              </c:extLst>
            </c:dLbl>
            <c:dLbl>
              <c:idx val="2"/>
              <c:layout>
                <c:manualLayout>
                  <c:x val="-4.9382108486439195E-2"/>
                  <c:y val="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A8-49EE-9E8F-D351BAC6F79F}"/>
                </c:ext>
              </c:extLst>
            </c:dLbl>
            <c:dLbl>
              <c:idx val="3"/>
              <c:layout>
                <c:manualLayout>
                  <c:x val="-4.9382108486439195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A8-49EE-9E8F-D351BAC6F79F}"/>
                </c:ext>
              </c:extLst>
            </c:dLbl>
            <c:dLbl>
              <c:idx val="4"/>
              <c:layout>
                <c:manualLayout>
                  <c:x val="-4.6604330708661421E-2"/>
                  <c:y val="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A8-49EE-9E8F-D351BAC6F79F}"/>
                </c:ext>
              </c:extLst>
            </c:dLbl>
            <c:dLbl>
              <c:idx val="5"/>
              <c:layout>
                <c:manualLayout>
                  <c:x val="-3.8270997375328082E-2"/>
                  <c:y val="6.018518518518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A8-49EE-9E8F-D351BAC6F79F}"/>
                </c:ext>
              </c:extLst>
            </c:dLbl>
            <c:dLbl>
              <c:idx val="6"/>
              <c:layout>
                <c:manualLayout>
                  <c:x val="-4.6604330708661316E-2"/>
                  <c:y val="5.5555555555555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EA8-49EE-9E8F-D351BAC6F7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'Line Chart'!$A$4:$A$11</c:f>
              <c:strCache>
                <c:ptCount val="7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Mitsubishi</c:v>
                </c:pt>
                <c:pt idx="4">
                  <c:v>Nissan</c:v>
                </c:pt>
                <c:pt idx="5">
                  <c:v>Subaru</c:v>
                </c:pt>
                <c:pt idx="6">
                  <c:v>Toyota</c:v>
                </c:pt>
              </c:strCache>
            </c:strRef>
          </c:cat>
          <c:val>
            <c:numRef>
              <c:f>'Line Chart'!$B$4:$B$11</c:f>
              <c:numCache>
                <c:formatCode>0%</c:formatCode>
                <c:ptCount val="7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0.6363812745454791</c:v>
                </c:pt>
                <c:pt idx="4">
                  <c:v>0.58818618467041606</c:v>
                </c:pt>
                <c:pt idx="5">
                  <c:v>0.73851166641203791</c:v>
                </c:pt>
                <c:pt idx="6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8-49EE-9E8F-D351BAC6F7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6202640"/>
        <c:axId val="2076198320"/>
      </c:lineChart>
      <c:catAx>
        <c:axId val="20762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198320"/>
        <c:crosses val="autoZero"/>
        <c:auto val="1"/>
        <c:lblAlgn val="ctr"/>
        <c:lblOffset val="100"/>
        <c:noMultiLvlLbl val="0"/>
      </c:catAx>
      <c:valAx>
        <c:axId val="20761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026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[Car_Sales_Kaggle.xlsx]Bar Chart!PivotTable4</c:name>
    <c:fmtId val="1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3-48C3-AD4D-206AD9740078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3-48C3-AD4D-206AD9740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2928416"/>
        <c:axId val="182930816"/>
        <c:axId val="0"/>
      </c:bar3DChart>
      <c:catAx>
        <c:axId val="18292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30816"/>
        <c:crosses val="autoZero"/>
        <c:auto val="1"/>
        <c:lblAlgn val="ctr"/>
        <c:lblOffset val="100"/>
        <c:noMultiLvlLbl val="0"/>
      </c:catAx>
      <c:valAx>
        <c:axId val="18293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2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F-4823-9FF4-656DEF6021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72117264"/>
        <c:axId val="1872117744"/>
        <c:axId val="2073212784"/>
      </c:area3DChart>
      <c:catAx>
        <c:axId val="187211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17744"/>
        <c:crosses val="autoZero"/>
        <c:auto val="1"/>
        <c:lblAlgn val="ctr"/>
        <c:lblOffset val="100"/>
        <c:noMultiLvlLbl val="0"/>
      </c:catAx>
      <c:valAx>
        <c:axId val="18721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17264"/>
        <c:crosses val="autoZero"/>
        <c:crossBetween val="midCat"/>
      </c:valAx>
      <c:serAx>
        <c:axId val="2073212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17744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Power Perf Factor</a:t>
            </a:r>
            <a:r>
              <a:rPr lang="en-US" baseline="0"/>
              <a:t> of Toyota Car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245370370370371"/>
          <c:w val="0.89019685039370078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A-4088-9394-6AB410C65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9029248"/>
        <c:axId val="2079037408"/>
      </c:barChart>
      <c:catAx>
        <c:axId val="20790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37408"/>
        <c:crosses val="autoZero"/>
        <c:auto val="1"/>
        <c:lblAlgn val="ctr"/>
        <c:lblOffset val="100"/>
        <c:noMultiLvlLbl val="0"/>
      </c:catAx>
      <c:valAx>
        <c:axId val="20790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2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739140</xdr:colOff>
      <xdr:row>11</xdr:row>
      <xdr:rowOff>179070</xdr:rowOff>
    </xdr:from>
    <xdr:to>
      <xdr:col>7</xdr:col>
      <xdr:colOff>327660</xdr:colOff>
      <xdr:row>34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B955C-3452-1E70-9E9A-CCA3B6F76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16</xdr:row>
      <xdr:rowOff>53340</xdr:rowOff>
    </xdr:from>
    <xdr:to>
      <xdr:col>9</xdr:col>
      <xdr:colOff>22860</xdr:colOff>
      <xdr:row>34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9CC14-A1E8-47FA-0D8C-DC2F528A6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159</xdr:row>
      <xdr:rowOff>34290</xdr:rowOff>
    </xdr:from>
    <xdr:to>
      <xdr:col>4</xdr:col>
      <xdr:colOff>1325880</xdr:colOff>
      <xdr:row>174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C3D09-C1F9-945D-6A96-E1F309C52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906780</xdr:colOff>
      <xdr:row>158</xdr:row>
      <xdr:rowOff>95250</xdr:rowOff>
    </xdr:from>
    <xdr:to>
      <xdr:col>4</xdr:col>
      <xdr:colOff>746760</xdr:colOff>
      <xdr:row>173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39475-B31D-0490-6A51-1EB35876F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4">
  <location ref="A3:B11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h="1"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8">
    <i>
      <x/>
    </i>
    <i>
      <x v="9"/>
    </i>
    <i>
      <x v="11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52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51">
      <pivotArea outline="0" collapsedLevelsAreSubtotals="1" fieldPosition="0"/>
    </format>
    <format dxfId="50">
      <pivotArea dataOnly="0" labelOnly="1" outline="0" axis="axisValues" fieldPosition="0"/>
    </format>
  </formats>
  <chartFormats count="1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8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8"/>
        <item h="1" x="17"/>
        <item h="1" x="16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aptionEndsWith" evalOrder="-1" id="1" stringValue1="">
      <autoFilter ref="A1">
        <filterColumn colId="0">
          <customFilters>
            <customFilter val="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45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44" dataCellStyle="60% - Accent2"/>
    <tableColumn id="1" xr3:uid="{91732ACF-B59B-4736-A06E-BE7ADB4669C2}" name="Model" dataDxfId="43" dataCellStyle="60% - Accent6"/>
    <tableColumn id="4" xr3:uid="{AC38EB39-9FE7-4815-9A95-BD4739621249}" name="Unit Sales" dataDxfId="42"/>
    <tableColumn id="5" xr3:uid="{48155666-2FFE-4435-98FA-77A71F62A4CD}" name="Price" dataDxfId="41"/>
    <tableColumn id="6" xr3:uid="{E6C9B305-43C4-4AA9-AF99-52F226A2A489}" name="Year Resale Value" dataDxfId="40"/>
    <tableColumn id="7" xr3:uid="{53AB75B2-B4C7-4B08-A310-E333B5D08F1E}" name="Retention %" dataDxfId="39" dataCellStyle="Percent">
      <calculatedColumnFormula>SUM(E2/D2)</calculatedColumnFormula>
    </tableColumn>
    <tableColumn id="8" xr3:uid="{14C0ED08-C800-44FC-AEFF-AD4CB3BA4CE3}" name="Retention Value" dataDxfId="38" dataCellStyle="Percent">
      <calculatedColumnFormula>IF(F2&gt;69%, "GOOD", "POOR")</calculatedColumnFormula>
    </tableColumn>
    <tableColumn id="9" xr3:uid="{2D1C7A45-6CF4-4F66-812C-40A50CEEFE3C}" name="Engine Size" dataDxfId="37"/>
    <tableColumn id="10" xr3:uid="{6F868495-C5F3-4EB0-A931-7DB5EE263B04}" name="Horsepower" dataDxfId="36"/>
    <tableColumn id="11" xr3:uid="{21D8283C-331B-4FBC-ADCB-511EC8FEEA5B}" name="HP Level" dataDxfId="35">
      <calculatedColumnFormula array="1">_xlfn.IFS(I2&gt;299,"High HP",I2&gt;99,"Medium HP",I2&lt;100,"Low HP")</calculatedColumnFormula>
    </tableColumn>
    <tableColumn id="3" xr3:uid="{D8DD2294-3DBB-4222-BDE1-25B41E8C6E23}" name="Vehicle_type" dataDxfId="34"/>
    <tableColumn id="17" xr3:uid="{41974CDD-17C2-4811-8CA1-4FE62EF36874}" name="Fuel Efficiency" dataDxfId="33"/>
    <tableColumn id="19" xr3:uid="{FF974689-EC10-4BD7-931E-F6D2FC8A04BB}" name="Power Perf Factor" dataDxfId="32"/>
    <tableColumn id="16" xr3:uid="{A47D6D7B-55BF-4939-8425-7A7DC0E408AE}" name="Fuel Capacity" dataDxfId="31"/>
    <tableColumn id="12" xr3:uid="{59E0B2CA-E73A-4CDD-A62F-F1A4C75E90F7}" name="Wheelbase" dataDxfId="30"/>
    <tableColumn id="13" xr3:uid="{1318511A-327E-4603-9CFA-8A67BC21BEB8}" name="Width" dataDxfId="29"/>
    <tableColumn id="14" xr3:uid="{B48108FE-8EF4-43AB-ACEA-F7B30A9D3C55}" name="Length" dataDxfId="28"/>
    <tableColumn id="15" xr3:uid="{1C70CD07-6AE4-4D29-95C6-1D02DF8772F3}" name="Curb Weight" dataDxfId="27"/>
    <tableColumn id="18" xr3:uid="{801588FA-173B-403F-BAF7-D1F66FFF62EA}" name="Latest Launch" dataDxfId="2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72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71" dataCellStyle="60% - Accent2"/>
    <tableColumn id="1" xr3:uid="{43B3A4A3-6CC5-4B1F-9BA5-697A4F09A487}" name="Model" dataDxfId="70" dataCellStyle="60% - Accent6"/>
    <tableColumn id="19" xr3:uid="{5B90FD03-F436-4395-9630-5BC3AE66755A}" name="Power Perf Factor" dataDxfId="69" dataCellStyle="60% - Accent6"/>
    <tableColumn id="4" xr3:uid="{2F98F040-7842-4713-AEFE-12CD948B81ED}" name="Unit Sales" dataDxfId="68"/>
    <tableColumn id="5" xr3:uid="{6A58B398-9B8D-495F-8939-B398B67C09F9}" name="Price" dataDxfId="67"/>
    <tableColumn id="6" xr3:uid="{CFBD5404-82BE-457B-8590-AD11A6B7EF8F}" name="Year Resale Value" dataDxfId="66"/>
    <tableColumn id="7" xr3:uid="{7684E2FD-1B7C-4F58-8E02-AB765C88FB13}" name="Retention %" dataDxfId="65" dataCellStyle="Percent">
      <calculatedColumnFormula>SUM(F2/E2)</calculatedColumnFormula>
    </tableColumn>
    <tableColumn id="8" xr3:uid="{4F26BE56-C2D9-44F3-86FD-D2945E0358C0}" name="Retention Value" dataDxfId="64" dataCellStyle="Percent">
      <calculatedColumnFormula>IF(G2&gt;69%, "GOOD", "POOR")</calculatedColumnFormula>
    </tableColumn>
    <tableColumn id="9" xr3:uid="{E2821A61-E719-4923-891A-BCFDE42F66D0}" name="Engine Size" dataDxfId="63"/>
    <tableColumn id="10" xr3:uid="{16623E42-D7B5-47C4-B7B5-265380D2ACB5}" name="Horsepower" dataDxfId="62"/>
    <tableColumn id="11" xr3:uid="{D6BC5B95-B4B5-4D2C-B442-659931E923AB}" name="HP Level" dataDxfId="61">
      <calculatedColumnFormula array="1">_xlfn.IFS(J2&gt;299,"High HP",J2&gt;99,"Medium HP",J2&lt;100,"Low HP")</calculatedColumnFormula>
    </tableColumn>
    <tableColumn id="3" xr3:uid="{D89FC93A-602D-4147-B5D8-052BD3AAEFA9}" name="Vehicle_type" dataDxfId="60"/>
    <tableColumn id="17" xr3:uid="{09BC724F-FE73-4569-B3C5-F0F8A6DB4C85}" name="Fuel Efficiency" dataDxfId="59" dataCellStyle="60% - Accent6"/>
    <tableColumn id="12" xr3:uid="{55924A29-F156-4CD0-8425-CED32C98068B}" name="Wheelbase" dataDxfId="58"/>
    <tableColumn id="13" xr3:uid="{56DEB4B4-962C-464A-8CF0-5AF892D29D15}" name="Width" dataDxfId="57"/>
    <tableColumn id="14" xr3:uid="{1EDAA041-E793-4BBE-B154-A3806B225DA4}" name="Length" dataDxfId="56"/>
    <tableColumn id="15" xr3:uid="{8B517A00-9F46-45B8-851E-0C41E81C7F5A}" name="Curb Weight" dataDxfId="55"/>
    <tableColumn id="16" xr3:uid="{C0D2D5B9-1522-4D17-A522-05AF3FA10469}" name="Fuel Capacity" dataDxfId="54"/>
    <tableColumn id="18" xr3:uid="{8890314F-1652-4E10-ABA4-284B9415484A}" name="Latest Launch" dataDxfId="5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25" headerRowCellStyle="60% - Accent1">
  <autoFilter ref="A1:S156" xr:uid="{142A1155-8F99-4580-8274-3FFCD265F860}"/>
  <tableColumns count="19">
    <tableColumn id="2" xr3:uid="{0090DD31-AAEF-418B-A6D5-5A47F973884A}" name="Manufacturer" dataDxfId="24" dataCellStyle="60% - Accent2"/>
    <tableColumn id="1" xr3:uid="{1D457C4B-D2B8-4760-9FBD-20980339C812}" name="Model" dataDxfId="23" dataCellStyle="60% - Accent6"/>
    <tableColumn id="4" xr3:uid="{8522711B-6353-4D72-9921-4036DEB24699}" name="Unit Sales" dataDxfId="22"/>
    <tableColumn id="5" xr3:uid="{3F2EFF05-CEC1-43C4-8457-EC0A04BFE37D}" name="Price" dataDxfId="21"/>
    <tableColumn id="6" xr3:uid="{D0C7E9A3-6A78-4834-995F-71A07F7E5FEC}" name="Year Resale Value" dataDxfId="20"/>
    <tableColumn id="7" xr3:uid="{2892AE5C-2583-41F9-9297-9EA4C2895B5F}" name="Retention %" dataDxfId="19" dataCellStyle="Percent">
      <calculatedColumnFormula>SUM(E2/D2)</calculatedColumnFormula>
    </tableColumn>
    <tableColumn id="8" xr3:uid="{40A7E790-705B-474C-BD5E-B93CFDEAAD37}" name="Retention Value" dataDxfId="18" dataCellStyle="Percent">
      <calculatedColumnFormula>IF(F2&gt;69%, "GOOD", "POOR")</calculatedColumnFormula>
    </tableColumn>
    <tableColumn id="9" xr3:uid="{9FD1D782-0EB9-4AC8-9FB6-1F5437BC6100}" name="Engine Size" dataDxfId="17"/>
    <tableColumn id="10" xr3:uid="{97F7DE8D-9589-426B-AA4F-2E3F8BB7A81B}" name="Horsepower" dataDxfId="16"/>
    <tableColumn id="11" xr3:uid="{4CB9C68E-A6F1-497A-9877-E41495059145}" name="HP Level" dataDxfId="15">
      <calculatedColumnFormula array="1">_xlfn.IFS(I2&gt;299,"High HP",I2&gt;99,"Medium HP",I2&lt;100,"Low HP")</calculatedColumnFormula>
    </tableColumn>
    <tableColumn id="3" xr3:uid="{3733B2DD-D65D-439A-9EC2-28F65DC369D7}" name="Vehicle_type" dataDxfId="14"/>
    <tableColumn id="17" xr3:uid="{5136D0F0-2F8F-4D70-995F-CE39B1996127}" name="Fuel Efficiency" dataDxfId="13"/>
    <tableColumn id="19" xr3:uid="{5F133F36-F1C6-453A-A10C-A9917A623804}" name="Power Perf Factor" dataDxfId="12"/>
    <tableColumn id="12" xr3:uid="{6E551230-1170-40DA-8649-BDDA922271D8}" name="Wheelbase" dataDxfId="11"/>
    <tableColumn id="13" xr3:uid="{53A36FF3-E823-43B4-958B-9E02EC2B56F7}" name="Width" dataDxfId="10"/>
    <tableColumn id="14" xr3:uid="{0728B768-EB40-4E54-9F8B-8FC310D3272C}" name="Length" dataDxfId="9"/>
    <tableColumn id="15" xr3:uid="{2264EB11-0818-4B2A-A027-42B066FA9869}" name="Curb Weight" dataDxfId="8"/>
    <tableColumn id="16" xr3:uid="{58B24934-BE7E-4FBD-9F96-CEF0725C6117}" name="Fuel Capacity" dataDxfId="7"/>
    <tableColumn id="18" xr3:uid="{00FF364F-DDBE-4E2C-8F3E-DBDA321FA22A}" name="Latest Launch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opLeftCell="A11" workbookViewId="0">
      <selection activeCell="A6" sqref="A6"/>
    </sheetView>
  </sheetViews>
  <sheetFormatPr defaultColWidth="8.77734375" defaultRowHeight="14.4" x14ac:dyDescent="0.3"/>
  <cols>
    <col min="1" max="1" width="12.5546875" bestFit="1" customWidth="1"/>
    <col min="2" max="2" width="20.88671875" style="17" bestFit="1" customWidth="1"/>
    <col min="3" max="3" width="26.10937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3">
      <c r="A3" s="15" t="s">
        <v>0</v>
      </c>
      <c r="B3" s="17" t="s">
        <v>1</v>
      </c>
    </row>
    <row r="4" spans="1:2" x14ac:dyDescent="0.3">
      <c r="A4" s="16" t="s">
        <v>2</v>
      </c>
      <c r="B4" s="17">
        <v>0.72283075715273559</v>
      </c>
    </row>
    <row r="5" spans="1:2" x14ac:dyDescent="0.3">
      <c r="A5" s="16" t="s">
        <v>11</v>
      </c>
      <c r="B5" s="17">
        <v>0.77905831386241042</v>
      </c>
    </row>
    <row r="6" spans="1:2" x14ac:dyDescent="0.3">
      <c r="A6" s="16" t="s">
        <v>13</v>
      </c>
      <c r="B6" s="17">
        <v>0.66825046665535381</v>
      </c>
    </row>
    <row r="7" spans="1:2" x14ac:dyDescent="0.3">
      <c r="A7" s="16" t="s">
        <v>20</v>
      </c>
      <c r="B7" s="17">
        <v>0.6363812745454791</v>
      </c>
    </row>
    <row r="8" spans="1:2" x14ac:dyDescent="0.3">
      <c r="A8" s="16" t="s">
        <v>21</v>
      </c>
      <c r="B8" s="17">
        <v>0.58818618467041606</v>
      </c>
    </row>
    <row r="9" spans="1:2" x14ac:dyDescent="0.3">
      <c r="A9" s="16" t="s">
        <v>28</v>
      </c>
      <c r="B9" s="17">
        <v>0.73851166641203791</v>
      </c>
    </row>
    <row r="10" spans="1:2" x14ac:dyDescent="0.3">
      <c r="A10" s="16" t="s">
        <v>29</v>
      </c>
      <c r="B10" s="17">
        <v>0.79241849164217193</v>
      </c>
    </row>
    <row r="11" spans="1:2" x14ac:dyDescent="0.3">
      <c r="A11" s="16" t="s">
        <v>32</v>
      </c>
      <c r="B11" s="17">
        <v>0.70331753763354432</v>
      </c>
    </row>
    <row r="12" spans="1:2" x14ac:dyDescent="0.3">
      <c r="B12"/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topLeftCell="A10" workbookViewId="0">
      <selection activeCell="A4" sqref="A4"/>
    </sheetView>
  </sheetViews>
  <sheetFormatPr defaultColWidth="8.77734375" defaultRowHeight="14.4" x14ac:dyDescent="0.3"/>
  <cols>
    <col min="1" max="1" width="15" bestFit="1" customWidth="1"/>
    <col min="2" max="2" width="25.6640625" style="18" bestFit="1" customWidth="1"/>
    <col min="3" max="3" width="14.77734375" style="18" bestFit="1" customWidth="1"/>
    <col min="4" max="4" width="23.7773437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3">
      <c r="A3" s="15" t="s">
        <v>0</v>
      </c>
      <c r="B3" s="18" t="s">
        <v>33</v>
      </c>
      <c r="C3" s="18" t="s">
        <v>34</v>
      </c>
    </row>
    <row r="4" spans="1:6" x14ac:dyDescent="0.3">
      <c r="A4" s="16" t="s">
        <v>29</v>
      </c>
      <c r="B4" s="18">
        <v>16883.222222222223</v>
      </c>
      <c r="C4" s="18">
        <v>21982.888888888891</v>
      </c>
    </row>
    <row r="5" spans="1:6" x14ac:dyDescent="0.3">
      <c r="A5" s="20" t="s">
        <v>189</v>
      </c>
      <c r="B5" s="18">
        <v>19425</v>
      </c>
      <c r="C5" s="18">
        <v>22288</v>
      </c>
    </row>
    <row r="6" spans="1:6" x14ac:dyDescent="0.3">
      <c r="A6" s="20" t="s">
        <v>190</v>
      </c>
      <c r="B6" s="18">
        <v>18140</v>
      </c>
      <c r="C6" s="18">
        <v>25545</v>
      </c>
    </row>
    <row r="7" spans="1:6" x14ac:dyDescent="0.3">
      <c r="A7" s="20" t="s">
        <v>191</v>
      </c>
      <c r="B7" s="18">
        <v>13245</v>
      </c>
      <c r="C7" s="18">
        <v>17518</v>
      </c>
      <c r="F7" s="19"/>
    </row>
    <row r="8" spans="1:6" x14ac:dyDescent="0.3">
      <c r="A8" s="20" t="s">
        <v>192</v>
      </c>
      <c r="B8" s="18">
        <v>15445</v>
      </c>
      <c r="C8" s="18">
        <v>16875</v>
      </c>
    </row>
    <row r="9" spans="1:6" x14ac:dyDescent="0.3">
      <c r="A9" s="20" t="s">
        <v>193</v>
      </c>
      <c r="B9" s="18">
        <v>10025</v>
      </c>
      <c r="C9" s="18">
        <v>13108</v>
      </c>
    </row>
    <row r="10" spans="1:6" x14ac:dyDescent="0.3">
      <c r="A10" s="20" t="s">
        <v>194</v>
      </c>
      <c r="B10" s="18">
        <v>34080</v>
      </c>
      <c r="C10" s="18">
        <v>51728</v>
      </c>
    </row>
    <row r="11" spans="1:6" x14ac:dyDescent="0.3">
      <c r="A11" s="20" t="s">
        <v>195</v>
      </c>
      <c r="B11" s="18">
        <v>13325</v>
      </c>
      <c r="C11" s="18">
        <v>16888</v>
      </c>
    </row>
    <row r="12" spans="1:6" x14ac:dyDescent="0.3">
      <c r="A12" s="20" t="s">
        <v>196</v>
      </c>
      <c r="B12" s="18">
        <v>18689</v>
      </c>
      <c r="C12" s="18">
        <v>22368</v>
      </c>
    </row>
    <row r="13" spans="1:6" x14ac:dyDescent="0.3">
      <c r="A13" s="20" t="s">
        <v>197</v>
      </c>
      <c r="B13" s="18">
        <v>9575</v>
      </c>
      <c r="C13" s="18">
        <v>11528</v>
      </c>
    </row>
    <row r="14" spans="1:6" x14ac:dyDescent="0.3">
      <c r="A14" s="16" t="s">
        <v>32</v>
      </c>
      <c r="B14" s="18">
        <v>16883.222222222223</v>
      </c>
      <c r="C14" s="18">
        <v>21982.888888888891</v>
      </c>
    </row>
    <row r="15" spans="1:6" x14ac:dyDescent="0.3">
      <c r="B15"/>
      <c r="C15"/>
    </row>
    <row r="16" spans="1:6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  <row r="24" spans="2:3" x14ac:dyDescent="0.3">
      <c r="B24"/>
      <c r="C24"/>
    </row>
    <row r="25" spans="2:3" x14ac:dyDescent="0.3">
      <c r="B25"/>
      <c r="C25"/>
    </row>
    <row r="26" spans="2:3" x14ac:dyDescent="0.3">
      <c r="B26"/>
      <c r="C26"/>
    </row>
    <row r="27" spans="2:3" x14ac:dyDescent="0.3">
      <c r="B27"/>
      <c r="C27"/>
    </row>
    <row r="28" spans="2:3" x14ac:dyDescent="0.3">
      <c r="B28"/>
      <c r="C28"/>
    </row>
    <row r="29" spans="2:3" x14ac:dyDescent="0.3">
      <c r="B29"/>
      <c r="C29"/>
    </row>
    <row r="30" spans="2:3" x14ac:dyDescent="0.3">
      <c r="B30"/>
      <c r="C30"/>
    </row>
    <row r="31" spans="2:3" x14ac:dyDescent="0.3">
      <c r="B31"/>
      <c r="C31"/>
    </row>
    <row r="32" spans="2:3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</row>
    <row r="36" spans="2:3" x14ac:dyDescent="0.3">
      <c r="B36"/>
    </row>
    <row r="37" spans="2:3" x14ac:dyDescent="0.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topLeftCell="A142" zoomScaleNormal="100" workbookViewId="0">
      <selection activeCell="D176" sqref="D176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3.109375" hidden="1" customWidth="1"/>
    <col min="15" max="15" width="11" hidden="1" customWidth="1"/>
    <col min="16" max="16" width="6.44140625" hidden="1" customWidth="1"/>
    <col min="17" max="17" width="7" hidden="1" customWidth="1"/>
    <col min="18" max="18" width="12.3320312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5" priority="1" operator="containsText" text="POOR">
      <formula>NOT(ISERROR(SEARCH("POOR",G2)))</formula>
    </cfRule>
    <cfRule type="containsText" dxfId="4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tabSelected="1" topLeftCell="A140" zoomScaleNormal="100" workbookViewId="0">
      <selection activeCell="A163" sqref="A163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17.77734375" customWidth="1"/>
    <col min="4" max="4" width="20.4414062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4.77734375" customWidth="1"/>
    <col min="13" max="13" width="14.6640625" customWidth="1"/>
    <col min="14" max="14" width="11" hidden="1" customWidth="1"/>
    <col min="15" max="15" width="6.44140625" hidden="1" customWidth="1"/>
    <col min="16" max="16" width="7" hidden="1" customWidth="1"/>
    <col min="17" max="17" width="12.33203125" hidden="1" customWidth="1"/>
    <col min="18" max="18" width="13.10937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opLeftCell="A5" zoomScaleNormal="100" workbookViewId="0">
      <selection activeCell="C12" sqref="C12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1" customWidth="1"/>
    <col min="15" max="15" width="6.44140625" customWidth="1"/>
    <col min="16" max="16" width="7" customWidth="1"/>
    <col min="17" max="17" width="12.33203125" customWidth="1"/>
    <col min="18" max="18" width="13.109375" customWidth="1"/>
    <col min="19" max="19" width="13.44140625" customWidth="1"/>
    <col min="20" max="22" width="8.77734375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" priority="3" operator="containsText" text="POOR">
      <formula>NOT(ISERROR(SEARCH("POOR",G2)))</formula>
    </cfRule>
    <cfRule type="containsText" dxfId="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joshna buddha</cp:lastModifiedBy>
  <cp:revision/>
  <dcterms:created xsi:type="dcterms:W3CDTF">2020-05-21T14:49:04Z</dcterms:created>
  <dcterms:modified xsi:type="dcterms:W3CDTF">2026-05-31T12:36:12Z</dcterms:modified>
  <cp:category/>
  <cp:contentStatus/>
</cp:coreProperties>
</file>